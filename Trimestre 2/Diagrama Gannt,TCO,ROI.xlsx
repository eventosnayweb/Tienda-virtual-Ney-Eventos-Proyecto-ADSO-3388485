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685F5A0-2F4C-410D-BB88-89358A0F709E}" xr6:coauthVersionLast="47" xr6:coauthVersionMax="47" xr10:uidLastSave="{00000000-0000-0000-0000-000000000000}"/>
  <bookViews>
    <workbookView xWindow="-120" yWindow="-120" windowWidth="29040" windowHeight="15720" xr2:uid="{F7429D00-08DF-448A-9793-1BD020BBA74D}"/>
  </bookViews>
  <sheets>
    <sheet name="Costos " sheetId="1" r:id="rId1"/>
    <sheet name="TCO" sheetId="2" r:id="rId2"/>
    <sheet name="ROI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B5" i="4"/>
  <c r="C42" i="1"/>
  <c r="C41" i="1"/>
</calcChain>
</file>

<file path=xl/sharedStrings.xml><?xml version="1.0" encoding="utf-8"?>
<sst xmlns="http://schemas.openxmlformats.org/spreadsheetml/2006/main" count="144" uniqueCount="128">
  <si>
    <t>N° Actividad</t>
  </si>
  <si>
    <t>Fase / Actividad</t>
  </si>
  <si>
    <t>Inicio (Estimado)</t>
  </si>
  <si>
    <t>Días (Aprox)</t>
  </si>
  <si>
    <t>Final (Estimado)</t>
  </si>
  <si>
    <t>Actividad 1</t>
  </si>
  <si>
    <t>T1: Levantamiento de Requerimientos y BPMN</t>
  </si>
  <si>
    <t>Actividad 2</t>
  </si>
  <si>
    <t>T1: Planeación, Mockups y Compra de Equipos</t>
  </si>
  <si>
    <t>Actividad 3</t>
  </si>
  <si>
    <t>T2: Diseño de Base de Datos y Arquitectura</t>
  </si>
  <si>
    <t>Actividad 4</t>
  </si>
  <si>
    <t>T2: Configuración de Servidores y Licencias</t>
  </si>
  <si>
    <t>Actividad 5</t>
  </si>
  <si>
    <t>T2: Diseño de Interfaces y UX/UI</t>
  </si>
  <si>
    <t>Actividad 6</t>
  </si>
  <si>
    <t>T3: Desarrollo Backend y Frontend (MVP)</t>
  </si>
  <si>
    <t>$63,000,000</t>
  </si>
  <si>
    <t>Actividad 7</t>
  </si>
  <si>
    <t>T4: Pruebas de Software (QA) y Testing</t>
  </si>
  <si>
    <t>Actividad 8</t>
  </si>
  <si>
    <t>T4: Documentación y Manuales de Usuario</t>
  </si>
  <si>
    <t>Actividad 9</t>
  </si>
  <si>
    <t>T4: Implementación y Entrega Final</t>
  </si>
  <si>
    <t>TOTALES</t>
  </si>
  <si>
    <t>1 AÑO DE EJECUCIÓN</t>
  </si>
  <si>
    <t>Costo Etapa</t>
  </si>
  <si>
    <t>Fecha Final</t>
  </si>
  <si>
    <t>Fecha Inicio</t>
  </si>
  <si>
    <t>$6,000,000</t>
  </si>
  <si>
    <t>$9,000,000</t>
  </si>
  <si>
    <t>$4,000,000</t>
  </si>
  <si>
    <t>$5,000,000</t>
  </si>
  <si>
    <t>$3,500,000</t>
  </si>
  <si>
    <t>$9,500,000</t>
  </si>
  <si>
    <t>$2,500,000</t>
  </si>
  <si>
    <t>$1,200,000</t>
  </si>
  <si>
    <t>$1,300,000</t>
  </si>
  <si>
    <t>$42,000,000</t>
  </si>
  <si>
    <t>Año 1 (2026)</t>
  </si>
  <si>
    <t>Año 2 (2027)</t>
  </si>
  <si>
    <t>Año 3 (2028)</t>
  </si>
  <si>
    <t>Año 4 (2029)</t>
  </si>
  <si>
    <t>Año 5 (2030)</t>
  </si>
  <si>
    <t>Adquisición del Software</t>
  </si>
  <si>
    <t>Servidores Cloud Económicos</t>
  </si>
  <si>
    <t>$1,500,000</t>
  </si>
  <si>
    <t>$3,000,000</t>
  </si>
  <si>
    <t>Componente del TCO</t>
  </si>
  <si>
    <t>Soporte y Mantenimiento</t>
  </si>
  <si>
    <t>GASTO ANUAL TOTAL</t>
  </si>
  <si>
    <t>Cobro Cliente (Con Seguro/Ganancia)</t>
  </si>
  <si>
    <t>$13,500,000</t>
  </si>
  <si>
    <t>$7,500,000</t>
  </si>
  <si>
    <t>$5,250,000</t>
  </si>
  <si>
    <t>$14,250,000</t>
  </si>
  <si>
    <t>$3,750,000</t>
  </si>
  <si>
    <t>$1,800,000</t>
  </si>
  <si>
    <t>$1,950,000</t>
  </si>
  <si>
    <t>Variable Financiera</t>
  </si>
  <si>
    <t>Valor (COP)</t>
  </si>
  <si>
    <t>Descripción / Justificación Técnica</t>
  </si>
  <si>
    <t>Inversión Inicial (Año 1)</t>
  </si>
  <si>
    <t>Incluye el cobro total del desarrollo del software ($63,000,000) más el costo del primer año de servidores en la nube ($1,500,000).</t>
  </si>
  <si>
    <t>Retorno Estimado (Ahorros e Ingresos)</t>
  </si>
  <si>
    <t>Proyección de ingresos por nuevas reservas en línea 24/7 y mitigación de pérdidas materiales mediante el control de inventario automatizado a 3 años.</t>
  </si>
  <si>
    <t>Beneficio Neto Obtenido</t>
  </si>
  <si>
    <t>Ganancia real limpia sobre la inversión inicial.</t>
  </si>
  <si>
    <t>Retorno de la inversion (ROI)</t>
  </si>
  <si>
    <t>ROI</t>
  </si>
  <si>
    <t>Interpretación de Viabilidad: El proyecto presenta un Retorno de Inversión (ROI) del 78,29% en un horizonte de evaluación de 3 años. Esto demuestra que la plataforma es financieramente viable y altamente rentable, garantizando la recuperación total del capital invertido y generando un beneficio neto de $0,78 COP adicionales por cada peso invertido.</t>
  </si>
  <si>
    <t>(ingresos- Inversion inicial) / inversion Incial x 100</t>
  </si>
  <si>
    <t xml:space="preserve"> </t>
  </si>
  <si>
    <r>
      <t>Análisis del Costo Total de Propiedad (TCO):</t>
    </r>
    <r>
      <rPr>
        <sz val="11"/>
        <color theme="1"/>
        <rFont val="Calibri"/>
        <family val="2"/>
        <scheme val="minor"/>
      </rPr>
      <t xml:space="preserve"> El Costo Total de Propiedad proyectado a 5 años demuestra la sostenibilidad financiera del software. La inversión fuerte se concentra únicamente en el </t>
    </r>
    <r>
      <rPr>
        <b/>
        <sz val="11"/>
        <color theme="1"/>
        <rFont val="Calibri"/>
        <family val="2"/>
        <scheme val="minor"/>
      </rPr>
      <t>Año 1 ($64,500,000)</t>
    </r>
    <r>
      <rPr>
        <sz val="11"/>
        <color theme="1"/>
        <rFont val="Calibri"/>
        <family val="2"/>
        <scheme val="minor"/>
      </rPr>
      <t xml:space="preserve"> debido al desarrollo inicial de la plataforma. A partir del </t>
    </r>
    <r>
      <rPr>
        <b/>
        <sz val="11"/>
        <color theme="1"/>
        <rFont val="Calibri"/>
        <family val="2"/>
        <scheme val="minor"/>
      </rPr>
      <t>Año 2 al Año 5</t>
    </r>
    <r>
      <rPr>
        <sz val="11"/>
        <color theme="1"/>
        <rFont val="Calibri"/>
        <family val="2"/>
        <scheme val="minor"/>
      </rPr>
      <t xml:space="preserve">, el costo operativo se reduce drásticamente a un gasto fijo mínimo de </t>
    </r>
    <r>
      <rPr>
        <b/>
        <sz val="11"/>
        <color theme="1"/>
        <rFont val="Calibri"/>
        <family val="2"/>
        <scheme val="minor"/>
      </rPr>
      <t>$4,500,000 anuales</t>
    </r>
    <r>
      <rPr>
        <sz val="11"/>
        <color theme="1"/>
        <rFont val="Calibri"/>
        <family val="2"/>
        <scheme val="minor"/>
      </rPr>
      <t xml:space="preserve"> (que cubre servidores estables y soporte preventivo). Esto demuestra que el software no requiere de reinversiones continuas y es altamente económico de mantener a largo plazo para el negocio.</t>
    </r>
  </si>
  <si>
    <t>1.1</t>
  </si>
  <si>
    <t>Entrevistas con stakeholders de Nay Eventos (administradores y encargados de bodega).</t>
  </si>
  <si>
    <t>1.2</t>
  </si>
  <si>
    <t>1.3</t>
  </si>
  <si>
    <t>Definición de historias de usuario y especificación de requerimientos funcionales y no funcionales.</t>
  </si>
  <si>
    <t>Modelado de procesos de negocio actuales y propuestos en Bizagi/BPMN (Flujo de reserva y control de inventario).</t>
  </si>
  <si>
    <t>2.2</t>
  </si>
  <si>
    <t>2.3</t>
  </si>
  <si>
    <t>2.1</t>
  </si>
  <si>
    <t>Elaboración de diagramas de flujo de datos e ingeniería de menús para la tienda virtual.</t>
  </si>
  <si>
    <t>Diseño de wireframes/mockups de baja fidelidad para la navegación de la plataforma.</t>
  </si>
  <si>
    <t>Gestión de cotizaciones, adquisición y configuración inicial de hardware de desarrollo o terminales de inventario.</t>
  </si>
  <si>
    <t>3.3</t>
  </si>
  <si>
    <t>3.2</t>
  </si>
  <si>
    <t>Creación del Modelo Entidad-Relación (MER) para la persistencia del inventario, usuarios y compras</t>
  </si>
  <si>
    <t>Normalización de la base de datos (1FN, 2FN, 3FN) y creación del diccionario de datos</t>
  </si>
  <si>
    <t>Definición del patrón de arquitectura de software (ej. MVC o Microservicios) y tecnologías del proyecto</t>
  </si>
  <si>
    <t>4.1</t>
  </si>
  <si>
    <t>4.2</t>
  </si>
  <si>
    <t>4.3</t>
  </si>
  <si>
    <t>Aprovisionamiento de servidores cloud (ej. AWS, Azure o Hostinger) y configuración de entornos (Desarrollo/Producción).</t>
  </si>
  <si>
    <t>Configuración de certificados de seguridad SSL y protocolos HTTPS para garantizar transferencias seguras.</t>
  </si>
  <si>
    <t>Instalación y licenciamiento del motor de base de datos y repositorios de código (ej. GitHub/GitLab).</t>
  </si>
  <si>
    <t>Creación de prototipos interactivos de alta fidelidad en Figma o Adobe XD (Vista Cliente y Vista Administrador).</t>
  </si>
  <si>
    <t>Definición de la guía de estilos: paleta de colores corporativa de Nay Eventos, tipografías e iconografía.</t>
  </si>
  <si>
    <t>Pruebas de usabilidad del prototipo con usuarios finales para validar la navegación del carrito de compras</t>
  </si>
  <si>
    <t>Desarrollo Frontend: Maquetación responsive (HTML, CSS, JS/Framework) de la tienda virtual y pasarela de reservas.</t>
  </si>
  <si>
    <t>Desarrollo Backend: Programación de la lógica de negocio, control de stock automatizado y gestión de alertas de inventario</t>
  </si>
  <si>
    <t>Integración de APIs externas (Pasarela de pagos como Wompi/Epayco y notificaciones por correo electrónico/WhatsApp)</t>
  </si>
  <si>
    <t>Diseño y ejecución de casos de prueba unitarios y de integración para los módulos críticos.</t>
  </si>
  <si>
    <t>Pruebas de carga, rendimiento y seguridad en el módulo de reservas concurrentes.</t>
  </si>
  <si>
    <t>Reporte, priorización y corrección de bugs/errores detectados por el equipo de QA.</t>
  </si>
  <si>
    <t>Redacción del manual técnico del sistema (arquitectura, modelo de datos y endpoints de las APIs)</t>
  </si>
  <si>
    <t>Redacción del manual de usuario administrador (cómo cargar eventos, productos y controlar inventarios)</t>
  </si>
  <si>
    <t>Redacción del manual de usuario cliente (proceso guiado para realizar reservas en línea)</t>
  </si>
  <si>
    <t>Despliegue final de la aplicación en el servidor de producción (Puesta en marcha - Go Live).</t>
  </si>
  <si>
    <t>Capacitación al personal de Nay Eventos sobre el uso de la plataforma y el panel de administración</t>
  </si>
  <si>
    <t>Firma del acta de entrega, cierre formal del proyecto y liberación del software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</si>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</sst>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2" borderId="1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2" fontId="0" fillId="0" borderId="0" xfId="1" applyNumberFormat="1" applyFont="1"/>
    <xf numFmtId="6" fontId="2" fillId="0" borderId="1" xfId="0" applyNumberFormat="1" applyFont="1" applyBorder="1" applyAlignment="1">
      <alignment horizontal="left" vertical="center" wrapText="1" indent="1" readingOrder="1"/>
    </xf>
    <xf numFmtId="44" fontId="2" fillId="0" borderId="1" xfId="0" applyNumberFormat="1" applyFont="1" applyBorder="1" applyAlignment="1">
      <alignment horizontal="left" vertical="center" wrapText="1" indent="1" readingOrder="1"/>
    </xf>
    <xf numFmtId="44" fontId="3" fillId="0" borderId="1" xfId="0" applyNumberFormat="1" applyFont="1" applyBorder="1" applyAlignment="1">
      <alignment horizontal="left" vertical="center" wrapText="1" indent="1" readingOrder="1"/>
    </xf>
    <xf numFmtId="44" fontId="2" fillId="0" borderId="1" xfId="0" applyNumberFormat="1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left" vertical="center" wrapText="1" indent="1" readingOrder="1"/>
    </xf>
    <xf numFmtId="0" fontId="1" fillId="3" borderId="0" xfId="0" applyFont="1" applyFill="1" applyAlignment="1">
      <alignment horizontal="center" wrapText="1"/>
    </xf>
    <xf numFmtId="0" fontId="6" fillId="3" borderId="0" xfId="0" applyFont="1" applyFill="1" applyAlignment="1">
      <alignment vertical="center" wrapText="1"/>
    </xf>
    <xf numFmtId="0" fontId="7" fillId="0" borderId="1" xfId="0" applyFont="1" applyBorder="1" applyAlignment="1">
      <alignment horizontal="left" vertical="center" wrapText="1" inden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/>
              <a:t>Diagrama</a:t>
            </a:r>
            <a:r>
              <a:rPr lang="es-CO" sz="1800" b="1" baseline="0"/>
              <a:t> de Gantt</a:t>
            </a:r>
            <a:endParaRPr lang="es-CO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65917158744271"/>
          <c:y val="0.23783510185263476"/>
          <c:w val="0.86027474431808304"/>
          <c:h val="0.72916901873514062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'Costos '!$A$2:$A$34</c:f>
              <c:strCache>
                <c:ptCount val="9"/>
                <c:pt idx="0">
                  <c:v>Actividad 1</c:v>
                </c:pt>
                <c:pt idx="1">
                  <c:v>Actividad 2</c:v>
                </c:pt>
                <c:pt idx="2">
                  <c:v>Actividad 3</c:v>
                </c:pt>
                <c:pt idx="3">
                  <c:v>Actividad 4</c:v>
                </c:pt>
                <c:pt idx="4">
                  <c:v>Actividad 5</c:v>
                </c:pt>
                <c:pt idx="5">
                  <c:v>Actividad 6</c:v>
                </c:pt>
                <c:pt idx="6">
                  <c:v>Actividad 7</c:v>
                </c:pt>
                <c:pt idx="7">
                  <c:v>Actividad 8</c:v>
                </c:pt>
                <c:pt idx="8">
                  <c:v>Actividad 9</c:v>
                </c:pt>
              </c:strCache>
            </c:strRef>
          </c:cat>
          <c:val>
            <c:numRef>
              <c:f>'Costos '!$C$2:$C$34</c:f>
              <c:numCache>
                <c:formatCode>m/d/yyyy</c:formatCode>
                <c:ptCount val="9"/>
                <c:pt idx="0">
                  <c:v>46064</c:v>
                </c:pt>
                <c:pt idx="1">
                  <c:v>46110</c:v>
                </c:pt>
                <c:pt idx="2">
                  <c:v>46156</c:v>
                </c:pt>
                <c:pt idx="3">
                  <c:v>46187</c:v>
                </c:pt>
                <c:pt idx="4">
                  <c:v>46218</c:v>
                </c:pt>
                <c:pt idx="5">
                  <c:v>46249</c:v>
                </c:pt>
                <c:pt idx="6">
                  <c:v>46340</c:v>
                </c:pt>
                <c:pt idx="7">
                  <c:v>46386</c:v>
                </c:pt>
                <c:pt idx="8">
                  <c:v>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B-4876-B0EE-F6BCE5E74461}"/>
            </c:ext>
          </c:extLst>
        </c:ser>
        <c:ser>
          <c:idx val="1"/>
          <c:order val="1"/>
          <c:tx>
            <c:strRef>
              <c:f>'Costos '!$D$2:$D$34</c:f>
              <c:strCache>
                <c:ptCount val="33"/>
                <c:pt idx="0">
                  <c:v>45</c:v>
                </c:pt>
                <c:pt idx="4">
                  <c:v>45</c:v>
                </c:pt>
                <c:pt idx="8">
                  <c:v>30</c:v>
                </c:pt>
                <c:pt idx="12">
                  <c:v>30</c:v>
                </c:pt>
                <c:pt idx="16">
                  <c:v>30</c:v>
                </c:pt>
                <c:pt idx="20">
                  <c:v>90</c:v>
                </c:pt>
                <c:pt idx="24">
                  <c:v>45</c:v>
                </c:pt>
                <c:pt idx="28">
                  <c:v>20</c:v>
                </c:pt>
                <c:pt idx="32">
                  <c:v>25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'Costos '!$A$2:$A$34</c:f>
              <c:strCache>
                <c:ptCount val="9"/>
                <c:pt idx="0">
                  <c:v>Actividad 1</c:v>
                </c:pt>
                <c:pt idx="1">
                  <c:v>Actividad 2</c:v>
                </c:pt>
                <c:pt idx="2">
                  <c:v>Actividad 3</c:v>
                </c:pt>
                <c:pt idx="3">
                  <c:v>Actividad 4</c:v>
                </c:pt>
                <c:pt idx="4">
                  <c:v>Actividad 5</c:v>
                </c:pt>
                <c:pt idx="5">
                  <c:v>Actividad 6</c:v>
                </c:pt>
                <c:pt idx="6">
                  <c:v>Actividad 7</c:v>
                </c:pt>
                <c:pt idx="7">
                  <c:v>Actividad 8</c:v>
                </c:pt>
                <c:pt idx="8">
                  <c:v>Actividad 9</c:v>
                </c:pt>
              </c:strCache>
            </c:strRef>
          </c:cat>
          <c:val>
            <c:numRef>
              <c:f>'Costos '!$D$2:$D$34</c:f>
              <c:numCache>
                <c:formatCode>General</c:formatCode>
                <c:ptCount val="9"/>
                <c:pt idx="0">
                  <c:v>45</c:v>
                </c:pt>
                <c:pt idx="1">
                  <c:v>45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90</c:v>
                </c:pt>
                <c:pt idx="6">
                  <c:v>45</c:v>
                </c:pt>
                <c:pt idx="7">
                  <c:v>20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B-4876-B0EE-F6BCE5E74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47351968"/>
        <c:axId val="447355208"/>
      </c:barChart>
      <c:catAx>
        <c:axId val="44735196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355208"/>
        <c:crosses val="autoZero"/>
        <c:auto val="1"/>
        <c:lblAlgn val="ctr"/>
        <c:lblOffset val="100"/>
        <c:noMultiLvlLbl val="0"/>
      </c:catAx>
      <c:valAx>
        <c:axId val="447355208"/>
        <c:scaling>
          <c:orientation val="minMax"/>
          <c:max val="46432"/>
          <c:min val="4606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6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3519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114297</xdr:colOff>
      <xdr:row>0</xdr:row>
      <xdr:rowOff>47626</xdr:rowOff>
    </xdr:from>
    <xdr:to>
      <xdr:col>19</xdr:col>
      <xdr:colOff>257175</xdr:colOff>
      <xdr:row>45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162F683-2045-9621-BC2B-9C282402C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74A-9934-4CB0-B5B7-72D615E6EF37}">
  <dimension ref="A1:G42"/>
  <sheetViews>
    <sheetView tabSelected="1" zoomScaleNormal="100" workbookViewId="0">
      <selection activeCell="F44" sqref="F44"/>
    </sheetView>
  </sheetViews>
  <sheetFormatPr baseColWidth="10" defaultRowHeight="15" outlineLevelRow="1" x14ac:dyDescent="0.25"/>
  <cols>
    <col min="1" max="1" width="15" customWidth="1"/>
    <col min="2" max="2" width="23.42578125" customWidth="1"/>
    <col min="3" max="3" width="14.28515625" customWidth="1"/>
    <col min="5" max="5" width="17.140625" customWidth="1"/>
    <col min="6" max="6" width="17.85546875" customWidth="1"/>
    <col min="7" max="7" width="20.7109375" customWidth="1"/>
  </cols>
  <sheetData>
    <row r="1" spans="1:7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26</v>
      </c>
      <c r="G1" s="3" t="s">
        <v>51</v>
      </c>
    </row>
    <row r="2" spans="1:7" ht="42.75" x14ac:dyDescent="0.25">
      <c r="A2" s="5" t="s">
        <v>5</v>
      </c>
      <c r="B2" s="6" t="s">
        <v>6</v>
      </c>
      <c r="C2" s="7">
        <v>46064</v>
      </c>
      <c r="D2" s="6">
        <v>45</v>
      </c>
      <c r="E2" s="7">
        <v>46109</v>
      </c>
      <c r="F2" s="8" t="s">
        <v>29</v>
      </c>
      <c r="G2" s="5" t="s">
        <v>30</v>
      </c>
    </row>
    <row r="3" spans="1:7" ht="50.25" hidden="1" customHeight="1" outlineLevel="1" x14ac:dyDescent="0.25">
      <c r="A3" s="5" t="s">
        <v>74</v>
      </c>
      <c r="B3" s="20" t="s">
        <v>75</v>
      </c>
      <c r="C3" s="7" t="s">
        <v>72</v>
      </c>
      <c r="D3" s="6"/>
      <c r="E3" s="7"/>
      <c r="F3" s="8"/>
      <c r="G3" s="5"/>
    </row>
    <row r="4" spans="1:7" ht="72.75" hidden="1" customHeight="1" outlineLevel="1" x14ac:dyDescent="0.25">
      <c r="A4" s="5" t="s">
        <v>76</v>
      </c>
      <c r="B4" s="20" t="s">
        <v>78</v>
      </c>
      <c r="C4" s="7" t="s">
        <v>72</v>
      </c>
      <c r="D4" s="6"/>
      <c r="E4" s="7"/>
      <c r="F4" s="8"/>
      <c r="G4" s="5"/>
    </row>
    <row r="5" spans="1:7" ht="71.25" hidden="1" customHeight="1" outlineLevel="1" x14ac:dyDescent="0.25">
      <c r="A5" s="5" t="s">
        <v>77</v>
      </c>
      <c r="B5" s="20" t="s">
        <v>79</v>
      </c>
      <c r="C5" s="7" t="s">
        <v>72</v>
      </c>
      <c r="D5" s="6"/>
      <c r="E5" s="7"/>
      <c r="F5" s="8"/>
      <c r="G5" s="5"/>
    </row>
    <row r="6" spans="1:7" ht="48" customHeight="1" collapsed="1" x14ac:dyDescent="0.25">
      <c r="A6" s="5" t="s">
        <v>7</v>
      </c>
      <c r="B6" s="6" t="s">
        <v>8</v>
      </c>
      <c r="C6" s="7">
        <v>46110</v>
      </c>
      <c r="D6" s="6">
        <v>45</v>
      </c>
      <c r="E6" s="7">
        <v>46155</v>
      </c>
      <c r="F6" s="8" t="s">
        <v>30</v>
      </c>
      <c r="G6" s="5" t="s">
        <v>52</v>
      </c>
    </row>
    <row r="7" spans="1:7" ht="51" hidden="1" customHeight="1" outlineLevel="1" x14ac:dyDescent="0.25">
      <c r="A7" s="5" t="s">
        <v>82</v>
      </c>
      <c r="B7" s="20" t="s">
        <v>83</v>
      </c>
      <c r="C7" s="7" t="s">
        <v>72</v>
      </c>
      <c r="D7" s="6"/>
      <c r="E7" s="7"/>
      <c r="F7" s="8"/>
      <c r="G7" s="5"/>
    </row>
    <row r="8" spans="1:7" ht="57.75" hidden="1" customHeight="1" outlineLevel="1" x14ac:dyDescent="0.25">
      <c r="A8" s="5" t="s">
        <v>80</v>
      </c>
      <c r="B8" s="20" t="s">
        <v>84</v>
      </c>
      <c r="C8" s="7" t="s">
        <v>72</v>
      </c>
      <c r="D8" s="6"/>
      <c r="E8" s="7"/>
      <c r="F8" s="8"/>
      <c r="G8" s="5"/>
    </row>
    <row r="9" spans="1:7" ht="66" hidden="1" customHeight="1" outlineLevel="1" x14ac:dyDescent="0.25">
      <c r="A9" s="5" t="s">
        <v>81</v>
      </c>
      <c r="B9" s="20" t="s">
        <v>85</v>
      </c>
      <c r="C9" s="7" t="s">
        <v>72</v>
      </c>
      <c r="D9" s="6"/>
      <c r="E9" s="7"/>
      <c r="F9" s="8"/>
      <c r="G9" s="5"/>
    </row>
    <row r="10" spans="1:7" ht="48.75" customHeight="1" collapsed="1" x14ac:dyDescent="0.25">
      <c r="A10" s="5" t="s">
        <v>9</v>
      </c>
      <c r="B10" s="6" t="s">
        <v>10</v>
      </c>
      <c r="C10" s="7">
        <v>46156</v>
      </c>
      <c r="D10" s="6">
        <v>30</v>
      </c>
      <c r="E10" s="7">
        <v>46186</v>
      </c>
      <c r="F10" s="8" t="s">
        <v>31</v>
      </c>
      <c r="G10" s="5" t="s">
        <v>29</v>
      </c>
    </row>
    <row r="11" spans="1:7" ht="70.5" hidden="1" customHeight="1" outlineLevel="1" x14ac:dyDescent="0.25">
      <c r="A11" s="5" t="s">
        <v>127</v>
      </c>
      <c r="B11" s="20" t="s">
        <v>88</v>
      </c>
      <c r="C11" s="7"/>
      <c r="D11" s="6"/>
      <c r="E11" s="7"/>
      <c r="F11" s="8"/>
      <c r="G11" s="5"/>
    </row>
    <row r="12" spans="1:7" ht="48" hidden="1" outlineLevel="1" x14ac:dyDescent="0.25">
      <c r="A12" s="5" t="s">
        <v>87</v>
      </c>
      <c r="B12" s="20" t="s">
        <v>89</v>
      </c>
      <c r="C12" s="7"/>
      <c r="D12" s="6"/>
      <c r="E12" s="7"/>
      <c r="F12" s="8"/>
      <c r="G12" s="5"/>
    </row>
    <row r="13" spans="1:7" ht="51.75" hidden="1" customHeight="1" outlineLevel="1" x14ac:dyDescent="0.25">
      <c r="A13" s="5" t="s">
        <v>86</v>
      </c>
      <c r="B13" s="20" t="s">
        <v>90</v>
      </c>
      <c r="C13" s="7"/>
      <c r="D13" s="6"/>
      <c r="E13" s="7"/>
      <c r="F13" s="8"/>
      <c r="G13" s="5"/>
    </row>
    <row r="14" spans="1:7" ht="42.75" collapsed="1" x14ac:dyDescent="0.25">
      <c r="A14" s="5" t="s">
        <v>11</v>
      </c>
      <c r="B14" s="6" t="s">
        <v>12</v>
      </c>
      <c r="C14" s="7">
        <v>46187</v>
      </c>
      <c r="D14" s="6">
        <v>30</v>
      </c>
      <c r="E14" s="7">
        <v>46217</v>
      </c>
      <c r="F14" s="8" t="s">
        <v>32</v>
      </c>
      <c r="G14" s="5" t="s">
        <v>53</v>
      </c>
    </row>
    <row r="15" spans="1:7" ht="60" hidden="1" outlineLevel="1" x14ac:dyDescent="0.25">
      <c r="A15" s="5" t="s">
        <v>91</v>
      </c>
      <c r="B15" s="20" t="s">
        <v>94</v>
      </c>
      <c r="C15" s="7"/>
      <c r="D15" s="6"/>
      <c r="E15" s="7"/>
      <c r="F15" s="8"/>
      <c r="G15" s="5"/>
    </row>
    <row r="16" spans="1:7" ht="60" hidden="1" outlineLevel="1" x14ac:dyDescent="0.25">
      <c r="A16" s="5" t="s">
        <v>92</v>
      </c>
      <c r="B16" s="20" t="s">
        <v>95</v>
      </c>
      <c r="C16" s="7"/>
      <c r="D16" s="6"/>
      <c r="E16" s="7"/>
      <c r="F16" s="8"/>
      <c r="G16" s="5"/>
    </row>
    <row r="17" spans="1:7" ht="60" hidden="1" outlineLevel="1" x14ac:dyDescent="0.25">
      <c r="A17" s="5" t="s">
        <v>93</v>
      </c>
      <c r="B17" s="20" t="s">
        <v>96</v>
      </c>
      <c r="C17" s="7"/>
      <c r="D17" s="6"/>
      <c r="E17" s="7"/>
      <c r="F17" s="8"/>
      <c r="G17" s="5"/>
    </row>
    <row r="18" spans="1:7" ht="28.5" collapsed="1" x14ac:dyDescent="0.25">
      <c r="A18" s="5" t="s">
        <v>13</v>
      </c>
      <c r="B18" s="6" t="s">
        <v>14</v>
      </c>
      <c r="C18" s="7">
        <v>46218</v>
      </c>
      <c r="D18" s="6">
        <v>30</v>
      </c>
      <c r="E18" s="7">
        <v>46248</v>
      </c>
      <c r="F18" s="8" t="s">
        <v>33</v>
      </c>
      <c r="G18" s="5" t="s">
        <v>54</v>
      </c>
    </row>
    <row r="19" spans="1:7" ht="60" hidden="1" outlineLevel="1" x14ac:dyDescent="0.25">
      <c r="A19" s="5" t="s">
        <v>112</v>
      </c>
      <c r="B19" s="20" t="s">
        <v>97</v>
      </c>
      <c r="C19" s="7"/>
      <c r="D19" s="6"/>
      <c r="E19" s="7"/>
      <c r="F19" s="8"/>
      <c r="G19" s="5"/>
    </row>
    <row r="20" spans="1:7" ht="60" hidden="1" outlineLevel="1" x14ac:dyDescent="0.25">
      <c r="A20" s="5" t="s">
        <v>113</v>
      </c>
      <c r="B20" s="20" t="s">
        <v>98</v>
      </c>
      <c r="C20" s="7"/>
      <c r="D20" s="6"/>
      <c r="E20" s="7"/>
      <c r="F20" s="8"/>
      <c r="G20" s="5"/>
    </row>
    <row r="21" spans="1:7" ht="60" hidden="1" outlineLevel="1" x14ac:dyDescent="0.25">
      <c r="A21" s="5" t="s">
        <v>114</v>
      </c>
      <c r="B21" s="20" t="s">
        <v>99</v>
      </c>
      <c r="C21" s="7"/>
      <c r="D21" s="6"/>
      <c r="E21" s="7"/>
      <c r="F21" s="8"/>
      <c r="G21" s="5"/>
    </row>
    <row r="22" spans="1:7" ht="42.75" collapsed="1" x14ac:dyDescent="0.25">
      <c r="A22" s="5" t="s">
        <v>15</v>
      </c>
      <c r="B22" s="6" t="s">
        <v>16</v>
      </c>
      <c r="C22" s="7">
        <v>46249</v>
      </c>
      <c r="D22" s="6">
        <v>90</v>
      </c>
      <c r="E22" s="7">
        <v>46339</v>
      </c>
      <c r="F22" s="8" t="s">
        <v>34</v>
      </c>
      <c r="G22" s="5" t="s">
        <v>55</v>
      </c>
    </row>
    <row r="23" spans="1:7" ht="72" hidden="1" outlineLevel="1" x14ac:dyDescent="0.25">
      <c r="A23" s="5" t="s">
        <v>115</v>
      </c>
      <c r="B23" s="20" t="s">
        <v>100</v>
      </c>
      <c r="C23" s="7"/>
      <c r="D23" s="6"/>
      <c r="E23" s="7"/>
      <c r="F23" s="8"/>
      <c r="G23" s="5"/>
    </row>
    <row r="24" spans="1:7" ht="72" hidden="1" outlineLevel="1" x14ac:dyDescent="0.25">
      <c r="A24" s="5" t="s">
        <v>116</v>
      </c>
      <c r="B24" s="20" t="s">
        <v>101</v>
      </c>
      <c r="C24" s="7"/>
      <c r="D24" s="6"/>
      <c r="E24" s="7"/>
      <c r="F24" s="8"/>
      <c r="G24" s="5"/>
    </row>
    <row r="25" spans="1:7" ht="72" hidden="1" outlineLevel="1" x14ac:dyDescent="0.25">
      <c r="A25" s="5" t="s">
        <v>117</v>
      </c>
      <c r="B25" s="20" t="s">
        <v>102</v>
      </c>
      <c r="C25" s="7"/>
      <c r="D25" s="6"/>
      <c r="E25" s="7"/>
      <c r="F25" s="8"/>
      <c r="G25" s="5"/>
    </row>
    <row r="26" spans="1:7" ht="42.75" collapsed="1" x14ac:dyDescent="0.25">
      <c r="A26" s="5" t="s">
        <v>18</v>
      </c>
      <c r="B26" s="6" t="s">
        <v>19</v>
      </c>
      <c r="C26" s="7">
        <v>46340</v>
      </c>
      <c r="D26" s="6">
        <v>45</v>
      </c>
      <c r="E26" s="7">
        <v>46385</v>
      </c>
      <c r="F26" s="8" t="s">
        <v>35</v>
      </c>
      <c r="G26" s="5" t="s">
        <v>56</v>
      </c>
    </row>
    <row r="27" spans="1:7" ht="48" hidden="1" outlineLevel="1" x14ac:dyDescent="0.25">
      <c r="A27" s="5" t="s">
        <v>118</v>
      </c>
      <c r="B27" s="20" t="s">
        <v>103</v>
      </c>
      <c r="C27" s="7"/>
      <c r="D27" s="6"/>
      <c r="E27" s="7"/>
      <c r="F27" s="8"/>
      <c r="G27" s="5"/>
    </row>
    <row r="28" spans="1:7" ht="48" hidden="1" outlineLevel="1" x14ac:dyDescent="0.25">
      <c r="A28" s="5" t="s">
        <v>119</v>
      </c>
      <c r="B28" s="20" t="s">
        <v>104</v>
      </c>
      <c r="C28" s="7"/>
      <c r="D28" s="6"/>
      <c r="E28" s="7"/>
      <c r="F28" s="8"/>
      <c r="G28" s="5"/>
    </row>
    <row r="29" spans="1:7" ht="48" hidden="1" outlineLevel="1" x14ac:dyDescent="0.25">
      <c r="A29" s="5" t="s">
        <v>120</v>
      </c>
      <c r="B29" s="20" t="s">
        <v>105</v>
      </c>
      <c r="C29" s="7"/>
      <c r="D29" s="6"/>
      <c r="E29" s="7"/>
      <c r="F29" s="8"/>
      <c r="G29" s="5"/>
    </row>
    <row r="30" spans="1:7" ht="28.5" collapsed="1" x14ac:dyDescent="0.25">
      <c r="A30" s="5" t="s">
        <v>20</v>
      </c>
      <c r="B30" s="6" t="s">
        <v>21</v>
      </c>
      <c r="C30" s="7">
        <v>46386</v>
      </c>
      <c r="D30" s="6">
        <v>20</v>
      </c>
      <c r="E30" s="7">
        <v>46406</v>
      </c>
      <c r="F30" s="8" t="s">
        <v>36</v>
      </c>
      <c r="G30" s="5" t="s">
        <v>57</v>
      </c>
    </row>
    <row r="31" spans="1:7" ht="60" hidden="1" outlineLevel="1" x14ac:dyDescent="0.25">
      <c r="A31" s="5" t="s">
        <v>121</v>
      </c>
      <c r="B31" s="20" t="s">
        <v>106</v>
      </c>
      <c r="C31" s="7"/>
      <c r="D31" s="6"/>
      <c r="E31" s="7"/>
      <c r="F31" s="8"/>
      <c r="G31" s="5"/>
    </row>
    <row r="32" spans="1:7" ht="60" hidden="1" outlineLevel="1" x14ac:dyDescent="0.25">
      <c r="A32" s="5" t="s">
        <v>122</v>
      </c>
      <c r="B32" s="20" t="s">
        <v>107</v>
      </c>
      <c r="C32" s="7"/>
      <c r="D32" s="6"/>
      <c r="E32" s="7"/>
      <c r="F32" s="8"/>
      <c r="G32" s="5"/>
    </row>
    <row r="33" spans="1:7" ht="48" hidden="1" outlineLevel="1" x14ac:dyDescent="0.25">
      <c r="A33" s="5" t="s">
        <v>123</v>
      </c>
      <c r="B33" s="20" t="s">
        <v>108</v>
      </c>
      <c r="C33" s="7"/>
      <c r="D33" s="6"/>
      <c r="E33" s="7"/>
      <c r="F33" s="8"/>
      <c r="G33" s="5"/>
    </row>
    <row r="34" spans="1:7" ht="28.5" collapsed="1" x14ac:dyDescent="0.25">
      <c r="A34" s="5" t="s">
        <v>22</v>
      </c>
      <c r="B34" s="6" t="s">
        <v>23</v>
      </c>
      <c r="C34" s="7">
        <v>46407</v>
      </c>
      <c r="D34" s="6">
        <v>25</v>
      </c>
      <c r="E34" s="7">
        <v>46432</v>
      </c>
      <c r="F34" s="8" t="s">
        <v>37</v>
      </c>
      <c r="G34" s="5" t="s">
        <v>58</v>
      </c>
    </row>
    <row r="35" spans="1:7" ht="48" hidden="1" outlineLevel="1" x14ac:dyDescent="0.25">
      <c r="A35" s="5" t="s">
        <v>124</v>
      </c>
      <c r="B35" s="20" t="s">
        <v>109</v>
      </c>
      <c r="C35" s="7"/>
      <c r="D35" s="6"/>
      <c r="E35" s="7"/>
      <c r="F35" s="8"/>
      <c r="G35" s="5"/>
    </row>
    <row r="36" spans="1:7" ht="48" hidden="1" outlineLevel="1" x14ac:dyDescent="0.25">
      <c r="A36" s="5" t="s">
        <v>125</v>
      </c>
      <c r="B36" s="20" t="s">
        <v>110</v>
      </c>
      <c r="C36" s="7"/>
      <c r="D36" s="6"/>
      <c r="E36" s="7"/>
      <c r="F36" s="8"/>
      <c r="G36" s="5"/>
    </row>
    <row r="37" spans="1:7" ht="36" hidden="1" outlineLevel="1" x14ac:dyDescent="0.25">
      <c r="A37" s="5" t="s">
        <v>126</v>
      </c>
      <c r="B37" s="20" t="s">
        <v>111</v>
      </c>
      <c r="C37" s="7"/>
      <c r="D37" s="6"/>
      <c r="E37" s="7"/>
      <c r="F37" s="8"/>
      <c r="G37" s="5"/>
    </row>
    <row r="38" spans="1:7" ht="30" collapsed="1" x14ac:dyDescent="0.25">
      <c r="A38" s="5" t="s">
        <v>24</v>
      </c>
      <c r="B38" s="5" t="s">
        <v>25</v>
      </c>
      <c r="C38" s="6"/>
      <c r="D38" s="5">
        <v>360</v>
      </c>
      <c r="E38" s="6"/>
      <c r="F38" s="9" t="s">
        <v>38</v>
      </c>
      <c r="G38" s="5" t="s">
        <v>17</v>
      </c>
    </row>
    <row r="41" spans="1:7" x14ac:dyDescent="0.25">
      <c r="B41" s="2" t="s">
        <v>28</v>
      </c>
      <c r="C41" s="1">
        <f>MIN(C2:C34)</f>
        <v>46064</v>
      </c>
    </row>
    <row r="42" spans="1:7" x14ac:dyDescent="0.25">
      <c r="B42" s="2" t="s">
        <v>27</v>
      </c>
      <c r="C42" s="1">
        <f>MAX(E2:E34)</f>
        <v>46432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9BBD-2FEE-401F-BFED-ABDA61788C82}">
  <dimension ref="A1:G14"/>
  <sheetViews>
    <sheetView zoomScale="85" zoomScaleNormal="85" workbookViewId="0">
      <selection activeCell="G22" sqref="G22"/>
    </sheetView>
  </sheetViews>
  <sheetFormatPr baseColWidth="10" defaultRowHeight="15" x14ac:dyDescent="0.25"/>
  <cols>
    <col min="1" max="1" width="33" customWidth="1"/>
    <col min="2" max="2" width="16" customWidth="1"/>
    <col min="3" max="3" width="17.5703125" customWidth="1"/>
    <col min="4" max="4" width="20" customWidth="1"/>
    <col min="5" max="5" width="16.28515625" customWidth="1"/>
    <col min="6" max="6" width="14.28515625" bestFit="1" customWidth="1"/>
    <col min="7" max="7" width="19.5703125" bestFit="1" customWidth="1"/>
  </cols>
  <sheetData>
    <row r="1" spans="1:7" ht="30" x14ac:dyDescent="0.25">
      <c r="A1" s="3" t="s">
        <v>48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</row>
    <row r="2" spans="1:7" ht="39.75" customHeight="1" x14ac:dyDescent="0.25">
      <c r="A2" s="3" t="s">
        <v>44</v>
      </c>
      <c r="B2" s="6" t="s">
        <v>17</v>
      </c>
      <c r="C2" s="13">
        <v>0</v>
      </c>
      <c r="D2" s="13">
        <v>0</v>
      </c>
      <c r="E2" s="13">
        <v>0</v>
      </c>
      <c r="F2" s="13">
        <v>0</v>
      </c>
    </row>
    <row r="3" spans="1:7" ht="32.25" customHeight="1" x14ac:dyDescent="0.25">
      <c r="A3" s="3" t="s">
        <v>45</v>
      </c>
      <c r="B3" s="6" t="s">
        <v>46</v>
      </c>
      <c r="C3" s="6" t="s">
        <v>46</v>
      </c>
      <c r="D3" s="6" t="s">
        <v>46</v>
      </c>
      <c r="E3" s="6" t="s">
        <v>46</v>
      </c>
      <c r="F3" s="6" t="s">
        <v>46</v>
      </c>
    </row>
    <row r="4" spans="1:7" ht="26.25" customHeight="1" x14ac:dyDescent="0.25">
      <c r="A4" s="3" t="s">
        <v>49</v>
      </c>
      <c r="B4" s="13">
        <v>0</v>
      </c>
      <c r="C4" s="6" t="s">
        <v>47</v>
      </c>
      <c r="D4" s="6" t="s">
        <v>47</v>
      </c>
      <c r="E4" s="6" t="s">
        <v>47</v>
      </c>
      <c r="F4" s="6" t="s">
        <v>47</v>
      </c>
    </row>
    <row r="5" spans="1:7" ht="31.5" customHeight="1" x14ac:dyDescent="0.25">
      <c r="A5" s="3" t="s">
        <v>50</v>
      </c>
      <c r="B5" s="17">
        <v>64500000</v>
      </c>
      <c r="C5" s="17">
        <v>4500000</v>
      </c>
      <c r="D5" s="17">
        <v>4500000</v>
      </c>
      <c r="E5" s="17">
        <v>4500000</v>
      </c>
      <c r="F5" s="17">
        <v>4500000</v>
      </c>
      <c r="G5" s="17">
        <f>SUM(B5:F5)</f>
        <v>82500000</v>
      </c>
    </row>
    <row r="10" spans="1:7" ht="24.75" customHeight="1" x14ac:dyDescent="0.25">
      <c r="A10" s="18" t="s">
        <v>73</v>
      </c>
      <c r="B10" s="18"/>
      <c r="C10" s="18"/>
      <c r="D10" s="18"/>
    </row>
    <row r="11" spans="1:7" x14ac:dyDescent="0.25">
      <c r="A11" s="18"/>
      <c r="B11" s="18"/>
      <c r="C11" s="18"/>
      <c r="D11" s="18"/>
    </row>
    <row r="12" spans="1:7" x14ac:dyDescent="0.25">
      <c r="A12" s="18"/>
      <c r="B12" s="18"/>
      <c r="C12" s="18"/>
      <c r="D12" s="18"/>
    </row>
    <row r="13" spans="1:7" x14ac:dyDescent="0.25">
      <c r="A13" s="18"/>
      <c r="B13" s="18"/>
      <c r="C13" s="18"/>
      <c r="D13" s="18"/>
    </row>
    <row r="14" spans="1:7" ht="34.5" customHeight="1" x14ac:dyDescent="0.25">
      <c r="A14" s="18"/>
      <c r="B14" s="18"/>
      <c r="C14" s="18"/>
      <c r="D14" s="18"/>
    </row>
  </sheetData>
  <mergeCells count="1">
    <mergeCell ref="A10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AC04-350C-4037-BABD-0D61F36F10D2}">
  <dimension ref="A1:C13"/>
  <sheetViews>
    <sheetView workbookViewId="0">
      <selection activeCell="C12" sqref="C12"/>
    </sheetView>
  </sheetViews>
  <sheetFormatPr baseColWidth="10" defaultRowHeight="15" x14ac:dyDescent="0.25"/>
  <cols>
    <col min="1" max="1" width="35" customWidth="1"/>
    <col min="2" max="2" width="33.7109375" customWidth="1"/>
    <col min="3" max="3" width="22" customWidth="1"/>
  </cols>
  <sheetData>
    <row r="1" spans="1:3" ht="45" x14ac:dyDescent="0.25">
      <c r="A1" s="3" t="s">
        <v>59</v>
      </c>
      <c r="B1" s="3" t="s">
        <v>60</v>
      </c>
      <c r="C1" s="3" t="s">
        <v>61</v>
      </c>
    </row>
    <row r="2" spans="1:3" ht="110.25" customHeight="1" x14ac:dyDescent="0.25">
      <c r="A2" s="3" t="s">
        <v>62</v>
      </c>
      <c r="B2" s="16">
        <v>64500000</v>
      </c>
      <c r="C2" s="6" t="s">
        <v>63</v>
      </c>
    </row>
    <row r="3" spans="1:3" ht="129.75" customHeight="1" x14ac:dyDescent="0.25">
      <c r="A3" s="3" t="s">
        <v>64</v>
      </c>
      <c r="B3" s="14">
        <v>115000000</v>
      </c>
      <c r="C3" s="6" t="s">
        <v>65</v>
      </c>
    </row>
    <row r="4" spans="1:3" ht="42.75" x14ac:dyDescent="0.25">
      <c r="A4" s="3" t="s">
        <v>66</v>
      </c>
      <c r="B4" s="15">
        <v>50500000</v>
      </c>
      <c r="C4" s="6" t="s">
        <v>67</v>
      </c>
    </row>
    <row r="5" spans="1:3" x14ac:dyDescent="0.25">
      <c r="A5" s="10" t="s">
        <v>68</v>
      </c>
      <c r="B5" s="12">
        <f>B4/B2 * 100</f>
        <v>78.294573643410843</v>
      </c>
    </row>
    <row r="8" spans="1:3" x14ac:dyDescent="0.25">
      <c r="A8" s="11" t="s">
        <v>69</v>
      </c>
      <c r="B8" t="s">
        <v>71</v>
      </c>
      <c r="C8" t="s">
        <v>72</v>
      </c>
    </row>
    <row r="10" spans="1:3" x14ac:dyDescent="0.25">
      <c r="A10" s="19" t="s">
        <v>70</v>
      </c>
      <c r="B10" s="19"/>
    </row>
    <row r="11" spans="1:3" x14ac:dyDescent="0.25">
      <c r="A11" s="19"/>
      <c r="B11" s="19"/>
    </row>
    <row r="12" spans="1:3" x14ac:dyDescent="0.25">
      <c r="A12" s="19"/>
      <c r="B12" s="19"/>
    </row>
    <row r="13" spans="1:3" ht="49.5" customHeight="1" x14ac:dyDescent="0.25">
      <c r="A13" s="19"/>
      <c r="B13" s="19"/>
    </row>
  </sheetData>
  <mergeCells count="1">
    <mergeCell ref="A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 </vt:lpstr>
      <vt:lpstr>TCO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2026-05-11T19:08:11Z</dcterms:created>
  <dcterms:modified xsi:type="dcterms:W3CDTF">2026-06-30T19:42:59Z</dcterms:modified>
</cp:coreProperties>
</file>